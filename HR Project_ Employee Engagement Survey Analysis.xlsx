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_Data" sheetId="1" r:id="rId4"/>
    <sheet state="visible" name="Analysis" sheetId="2" r:id="rId5"/>
    <sheet state="visible" name="Pivot Table " sheetId="3" r:id="rId6"/>
    <sheet state="visible" name="Dashboard" sheetId="4" r:id="rId7"/>
  </sheets>
  <definedNames>
    <definedName hidden="1" localSheetId="0" name="Z_602196F6_74E3_4665_8414_38856A855931_.wvu.FilterData">Survey_Data!$A$1:$K$1000</definedName>
    <definedName hidden="1" localSheetId="0" name="Z_602196F6_74E3_4665_8414_38856A855931_.wvu.FilterData">Survey_Data!$A$1:$K$1000</definedName>
    <definedName name="SlicerCache_Table_1_Col_2">#N/A</definedName>
    <definedName name="SlicerCache_Table_1_Col_3">#N/A</definedName>
  </definedNames>
  <calcPr/>
  <customWorkbookViews>
    <customWorkbookView activeSheetId="0" maximized="1" windowHeight="0" windowWidth="0" guid="{602196F6-74E3-4665-8414-38856A855931}" name="Filter 1"/>
  </customWorkbookViews>
  <pivotCaches>
    <pivotCache cacheId="0" r:id="rId8"/>
  </pivotCaches>
  <extLst>
    <ext uri="{46BE6895-7355-4a93-B00E-2C351335B9C9}">
      <x15:slicerCaches>
        <x14:slicerCache r:id="rId9"/>
        <x14:slicerCache r:id="rId10"/>
      </x15:slicerCaches>
    </ext>
  </extLst>
</workbook>
</file>

<file path=xl/sharedStrings.xml><?xml version="1.0" encoding="utf-8"?>
<sst xmlns="http://schemas.openxmlformats.org/spreadsheetml/2006/main" count="95" uniqueCount="50">
  <si>
    <t>EmployeeID</t>
  </si>
  <si>
    <t>Department</t>
  </si>
  <si>
    <t>Location</t>
  </si>
  <si>
    <t>Tenure (Years)</t>
  </si>
  <si>
    <t>JobSatisfaction (1-5)</t>
  </si>
  <si>
    <t>WorkLifeBalance (1-5)</t>
  </si>
  <si>
    <t>ManagerRelationship (1-5)</t>
  </si>
  <si>
    <t>CareerGrowth (1-5)</t>
  </si>
  <si>
    <t>MostValuedPerk</t>
  </si>
  <si>
    <t>OverallScore</t>
  </si>
  <si>
    <t>Tenure (Group)</t>
  </si>
  <si>
    <t>E1001</t>
  </si>
  <si>
    <t>Sales</t>
  </si>
  <si>
    <t>New York</t>
  </si>
  <si>
    <t>Health Insurance</t>
  </si>
  <si>
    <t>E1002</t>
  </si>
  <si>
    <t>Engineering</t>
  </si>
  <si>
    <t>San Francisco</t>
  </si>
  <si>
    <t>Stock Options</t>
  </si>
  <si>
    <t>E1003</t>
  </si>
  <si>
    <t>Marketing</t>
  </si>
  <si>
    <t>Remote Work</t>
  </si>
  <si>
    <t>E1004</t>
  </si>
  <si>
    <t>HR</t>
  </si>
  <si>
    <t>Bonus</t>
  </si>
  <si>
    <t>E1005</t>
  </si>
  <si>
    <t>London</t>
  </si>
  <si>
    <t>E1006</t>
  </si>
  <si>
    <t>E1007</t>
  </si>
  <si>
    <t>E1008</t>
  </si>
  <si>
    <t>E1009</t>
  </si>
  <si>
    <t>E1010</t>
  </si>
  <si>
    <t>E1011</t>
  </si>
  <si>
    <t>E1012</t>
  </si>
  <si>
    <t>E1013</t>
  </si>
  <si>
    <t>E1014</t>
  </si>
  <si>
    <t>E1015</t>
  </si>
  <si>
    <t>Category</t>
  </si>
  <si>
    <t xml:space="preserve">Average Score </t>
  </si>
  <si>
    <t xml:space="preserve">Job Satisfaction </t>
  </si>
  <si>
    <t xml:space="preserve">Work-Life Balance </t>
  </si>
  <si>
    <t xml:space="preserve">Manager Relationship </t>
  </si>
  <si>
    <t xml:space="preserve">Career Growth </t>
  </si>
  <si>
    <t xml:space="preserve">Overall Engagement </t>
  </si>
  <si>
    <t>AVERAGE of OverallScore</t>
  </si>
  <si>
    <t>COUNTA of MostValuedPerk</t>
  </si>
  <si>
    <t>0-1 YEARS</t>
  </si>
  <si>
    <t>2-4 YEARS</t>
  </si>
  <si>
    <t>5-7 YEARS</t>
  </si>
  <si>
    <t>8+ YEARS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</si>
</sst>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164" xfId="0" applyAlignment="1" applyFont="1" applyNumberFormat="1">
      <alignment shrinkToFit="0" vertical="center" wrapText="0"/>
    </xf>
    <xf borderId="0" fillId="0" fontId="1" numFmtId="0" xfId="0" applyAlignment="1" applyFont="1">
      <alignment shrinkToFit="0" vertical="center" wrapText="0"/>
    </xf>
    <xf borderId="0" fillId="0" fontId="1" numFmtId="0" xfId="0" applyAlignment="1" applyFont="1">
      <alignment readingOrder="0"/>
    </xf>
    <xf borderId="0" fillId="0" fontId="1" numFmtId="164" xfId="0" applyFont="1" applyNumberFormat="1"/>
    <xf borderId="0" fillId="0" fontId="1"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microsoft.com/office/2007/relationships/slicerCache" Target="slicerCaches/slicerCache2.xml"/><Relationship Id="rId9" Type="http://schemas.microsoft.com/office/2007/relationships/slicerCache" Target="slicerCaches/slicerCache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OverallScore</a:t>
            </a:r>
          </a:p>
        </c:rich>
      </c:tx>
      <c:overlay val="0"/>
    </c:title>
    <c:plotArea>
      <c:layout/>
      <c:barChart>
        <c:barDir val="col"/>
        <c:ser>
          <c:idx val="0"/>
          <c:order val="0"/>
          <c:tx>
            <c:strRef>
              <c:f>'Pivot Table '!$F$9</c:f>
            </c:strRef>
          </c:tx>
          <c:spPr>
            <a:solidFill>
              <a:schemeClr val="accent1"/>
            </a:solidFill>
            <a:ln cmpd="sng">
              <a:solidFill>
                <a:srgbClr val="000000"/>
              </a:solidFill>
            </a:ln>
          </c:spPr>
          <c:cat>
            <c:strRef>
              <c:f>'Pivot Table '!$E$10:$E$14</c:f>
            </c:strRef>
          </c:cat>
          <c:val>
            <c:numRef>
              <c:f>'Pivot Table '!$F$10:$F$14</c:f>
              <c:numCache/>
            </c:numRef>
          </c:val>
        </c:ser>
        <c:axId val="1085522039"/>
        <c:axId val="842748973"/>
      </c:barChart>
      <c:catAx>
        <c:axId val="10855220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c:txPr>
          <a:bodyPr/>
          <a:lstStyle/>
          <a:p>
            <a:pPr lvl="0">
              <a:defRPr b="0">
                <a:solidFill>
                  <a:srgbClr val="000000"/>
                </a:solidFill>
                <a:latin typeface="+mn-lt"/>
              </a:defRPr>
            </a:pPr>
          </a:p>
        </c:txPr>
        <c:crossAx val="842748973"/>
      </c:catAx>
      <c:valAx>
        <c:axId val="8427489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OverallScore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85522039"/>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OverallScore</a:t>
            </a:r>
          </a:p>
        </c:rich>
      </c:tx>
      <c:overlay val="0"/>
    </c:title>
    <c:plotArea>
      <c:layout/>
      <c:lineChart>
        <c:varyColors val="0"/>
        <c:ser>
          <c:idx val="0"/>
          <c:order val="0"/>
          <c:tx>
            <c:strRef>
              <c:f>'Pivot Table '!$C$9</c:f>
            </c:strRef>
          </c:tx>
          <c:spPr>
            <a:ln cmpd="sng">
              <a:solidFill>
                <a:srgbClr val="4285F4"/>
              </a:solidFill>
            </a:ln>
          </c:spPr>
          <c:marker>
            <c:symbol val="none"/>
          </c:marker>
          <c:cat>
            <c:strRef>
              <c:f>'Pivot Table '!$B$10:$B$14</c:f>
            </c:strRef>
          </c:cat>
          <c:val>
            <c:numRef>
              <c:f>'Pivot Table '!$C$10:$C$14</c:f>
              <c:numCache/>
            </c:numRef>
          </c:val>
          <c:smooth val="0"/>
        </c:ser>
        <c:axId val="1928210994"/>
        <c:axId val="1948328767"/>
      </c:lineChart>
      <c:catAx>
        <c:axId val="19282109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Tenure (Group)</a:t>
                </a:r>
              </a:p>
            </c:rich>
          </c:tx>
          <c:overlay val="0"/>
        </c:title>
        <c:numFmt formatCode="General" sourceLinked="1"/>
        <c:majorTickMark val="none"/>
        <c:minorTickMark val="none"/>
        <c:spPr/>
        <c:txPr>
          <a:bodyPr/>
          <a:lstStyle/>
          <a:p>
            <a:pPr lvl="0">
              <a:defRPr b="0">
                <a:solidFill>
                  <a:srgbClr val="000000"/>
                </a:solidFill>
                <a:latin typeface="+mn-lt"/>
              </a:defRPr>
            </a:pPr>
          </a:p>
        </c:txPr>
        <c:crossAx val="1948328767"/>
      </c:catAx>
      <c:valAx>
        <c:axId val="19483287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OverallScore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28210994"/>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MostValuedPerk</a:t>
            </a:r>
          </a:p>
        </c:rich>
      </c:tx>
      <c:overlay val="0"/>
    </c:title>
    <c:plotArea>
      <c:layout/>
      <c:doughnutChart>
        <c:varyColors val="1"/>
        <c:ser>
          <c:idx val="0"/>
          <c:order val="0"/>
          <c:tx>
            <c:strRef>
              <c:f>'Pivot Table '!$I$9</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dPt>
          <c:dLbls>
            <c:showLegendKey val="0"/>
            <c:showVal val="0"/>
            <c:showCatName val="0"/>
            <c:showSerName val="0"/>
            <c:showPercent val="0"/>
            <c:showBubbleSize val="0"/>
            <c:showLeaderLines val="1"/>
          </c:dLbls>
          <c:cat>
            <c:strRef>
              <c:f>'Pivot Table '!$H$10:$H$14</c:f>
            </c:strRef>
          </c:cat>
          <c:val>
            <c:numRef>
              <c:f>'Pivot Table '!$I$10:$I$14</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JobSatisfaction (1-5), WorkLifeBalance (1-5), ManagerRelationship (1-5), CareerGrowth (1-5) and OverallScore</a:t>
            </a:r>
          </a:p>
        </c:rich>
      </c:tx>
      <c:overlay val="0"/>
    </c:title>
    <c:plotArea>
      <c:layout/>
      <c:barChart>
        <c:barDir val="col"/>
        <c:ser>
          <c:idx val="0"/>
          <c:order val="0"/>
          <c:tx>
            <c:strRef>
              <c:f>Survey_Data!$J$1</c:f>
            </c:strRef>
          </c:tx>
          <c:spPr>
            <a:solidFill>
              <a:schemeClr val="accent1"/>
            </a:solidFill>
            <a:ln cmpd="sng">
              <a:solidFill>
                <a:srgbClr val="000000"/>
              </a:solidFill>
            </a:ln>
          </c:spPr>
          <c:val>
            <c:numRef>
              <c:f>Survey_Data!$J$2:$J$1000</c:f>
              <c:numCache/>
            </c:numRef>
          </c:val>
        </c:ser>
        <c:axId val="1385630580"/>
        <c:axId val="1564998326"/>
      </c:barChart>
      <c:catAx>
        <c:axId val="13856305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64998326"/>
      </c:catAx>
      <c:valAx>
        <c:axId val="15649983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85630580"/>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Most Valued Perk </a:t>
            </a:r>
          </a:p>
        </c:rich>
      </c:tx>
      <c:overlay val="0"/>
    </c:title>
    <c:plotArea>
      <c:layout/>
      <c:doughnutChart>
        <c:varyColors val="1"/>
        <c:ser>
          <c:idx val="0"/>
          <c:order val="0"/>
          <c:tx>
            <c:strRef>
              <c:f>Survey_Data!$J$1</c:f>
            </c:strRef>
          </c:tx>
          <c:dPt>
            <c:idx val="0"/>
            <c:spPr>
              <a:solidFill>
                <a:srgbClr val="4285F4"/>
              </a:solidFill>
              <a:ln cmpd="sng" w="9525">
                <a:solidFill>
                  <a:srgbClr val="FFFFFF"/>
                </a:solidFill>
              </a:ln>
            </c:spPr>
          </c:dPt>
          <c:dPt>
            <c:idx val="1"/>
            <c:spPr>
              <a:solidFill>
                <a:srgbClr val="EA4335"/>
              </a:solidFill>
              <a:ln cmpd="sng" w="9525">
                <a:solidFill>
                  <a:srgbClr val="FFFFFF"/>
                </a:solidFill>
              </a:ln>
            </c:spPr>
          </c:dPt>
          <c:dPt>
            <c:idx val="2"/>
            <c:spPr>
              <a:solidFill>
                <a:srgbClr val="FBBC04"/>
              </a:solidFill>
              <a:ln cmpd="sng" w="9525">
                <a:solidFill>
                  <a:srgbClr val="FFFFFF"/>
                </a:solidFill>
              </a:ln>
            </c:spPr>
          </c:dPt>
          <c:dPt>
            <c:idx val="3"/>
            <c:spPr>
              <a:solidFill>
                <a:srgbClr val="34A853"/>
              </a:solidFill>
              <a:ln cmpd="sng" w="9525">
                <a:solidFill>
                  <a:srgbClr val="FFFFFF"/>
                </a:solidFill>
              </a:ln>
            </c:spPr>
          </c:dPt>
          <c:dPt>
            <c:idx val="4"/>
            <c:spPr>
              <a:solidFill>
                <a:srgbClr val="FF6D01"/>
              </a:solidFill>
              <a:ln cmpd="sng" w="9525">
                <a:solidFill>
                  <a:srgbClr val="FFFFFF"/>
                </a:solidFill>
              </a:ln>
            </c:spPr>
          </c:dPt>
          <c:dPt>
            <c:idx val="5"/>
            <c:spPr>
              <a:solidFill>
                <a:srgbClr val="46BDC6"/>
              </a:solidFill>
              <a:ln cmpd="sng" w="9525">
                <a:solidFill>
                  <a:srgbClr val="FFFFFF"/>
                </a:solidFill>
              </a:ln>
            </c:spPr>
          </c:dPt>
          <c:dPt>
            <c:idx val="6"/>
            <c:spPr>
              <a:solidFill>
                <a:srgbClr val="7BAAF7"/>
              </a:solidFill>
              <a:ln cmpd="sng" w="9525">
                <a:solidFill>
                  <a:srgbClr val="FFFFFF"/>
                </a:solidFill>
              </a:ln>
            </c:spPr>
          </c:dPt>
          <c:dPt>
            <c:idx val="7"/>
            <c:spPr>
              <a:solidFill>
                <a:srgbClr val="F07B72"/>
              </a:solidFill>
              <a:ln cmpd="sng" w="9525">
                <a:solidFill>
                  <a:srgbClr val="FFFFFF"/>
                </a:solidFill>
              </a:ln>
            </c:spPr>
          </c:dPt>
          <c:dPt>
            <c:idx val="8"/>
            <c:spPr>
              <a:solidFill>
                <a:srgbClr val="FCD04F"/>
              </a:solidFill>
              <a:ln cmpd="sng" w="9525">
                <a:solidFill>
                  <a:srgbClr val="FFFFFF"/>
                </a:solidFill>
              </a:ln>
            </c:spPr>
          </c:dPt>
          <c:dPt>
            <c:idx val="9"/>
            <c:spPr>
              <a:solidFill>
                <a:srgbClr val="71C287"/>
              </a:solidFill>
              <a:ln cmpd="sng" w="9525">
                <a:solidFill>
                  <a:srgbClr val="FFFFFF"/>
                </a:solidFill>
              </a:ln>
            </c:spPr>
          </c:dPt>
          <c:dPt>
            <c:idx val="10"/>
            <c:spPr>
              <a:solidFill>
                <a:srgbClr val="FF994D"/>
              </a:solidFill>
              <a:ln cmpd="sng" w="9525">
                <a:solidFill>
                  <a:srgbClr val="FFFFFF"/>
                </a:solidFill>
              </a:ln>
            </c:spPr>
          </c:dPt>
          <c:dPt>
            <c:idx val="11"/>
            <c:spPr>
              <a:solidFill>
                <a:srgbClr val="7ED1D7"/>
              </a:solidFill>
              <a:ln cmpd="sng" w="9525">
                <a:solidFill>
                  <a:srgbClr val="FFFFFF"/>
                </a:solidFill>
              </a:ln>
            </c:spPr>
          </c:dPt>
          <c:dPt>
            <c:idx val="12"/>
            <c:spPr>
              <a:solidFill>
                <a:srgbClr val="B3CEFB"/>
              </a:solidFill>
              <a:ln cmpd="sng" w="9525">
                <a:solidFill>
                  <a:srgbClr val="FFFFFF"/>
                </a:solidFill>
              </a:ln>
            </c:spPr>
          </c:dPt>
          <c:dPt>
            <c:idx val="13"/>
            <c:spPr>
              <a:solidFill>
                <a:srgbClr val="F7B4AE"/>
              </a:solidFill>
              <a:ln cmpd="sng" w="9525">
                <a:solidFill>
                  <a:srgbClr val="FFFFFF"/>
                </a:solidFill>
              </a:ln>
            </c:spPr>
          </c:dPt>
          <c:dPt>
            <c:idx val="14"/>
            <c:spPr>
              <a:solidFill>
                <a:srgbClr val="FDE49B"/>
              </a:solidFill>
              <a:ln cmpd="sng" w="9525">
                <a:solidFill>
                  <a:srgbClr val="FFFFFF"/>
                </a:solidFill>
              </a:ln>
            </c:spPr>
          </c:dPt>
          <c:dLbls>
            <c:showLegendKey val="0"/>
            <c:showVal val="0"/>
            <c:showCatName val="0"/>
            <c:showSerName val="0"/>
            <c:showPercent val="0"/>
            <c:showBubbleSize val="0"/>
            <c:showLeaderLines val="1"/>
          </c:dLbls>
          <c:cat>
            <c:strRef>
              <c:f>Survey_Data!$I$2:$I$16</c:f>
            </c:strRef>
          </c:cat>
          <c:val>
            <c:numRef>
              <c:f>Survey_Data!$J$2:$J$16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spPr>
    <a:solidFill>
      <a:srgbClr val="FFFFFF"/>
    </a:solidFill>
  </c:spPr>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image" Target="../media/Chart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866775</xdr:colOff>
      <xdr:row>15</xdr:row>
      <xdr:rowOff>152400</xdr:rowOff>
    </xdr:from>
    <xdr:ext cx="3524250" cy="21717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342900</xdr:colOff>
      <xdr:row>15</xdr:row>
      <xdr:rowOff>123825</xdr:rowOff>
    </xdr:from>
    <xdr:ext cx="3600450" cy="22288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923925</xdr:colOff>
      <xdr:row>28</xdr:row>
      <xdr:rowOff>9525</xdr:rowOff>
    </xdr:from>
    <xdr:ext cx="3409950" cy="21050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838200</xdr:colOff>
      <xdr:row>5</xdr:row>
      <xdr:rowOff>95250</xdr:rowOff>
    </xdr:from>
    <xdr:ext cx="4343400" cy="267652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190500</xdr:colOff>
      <xdr:row>5</xdr:row>
      <xdr:rowOff>95250</xdr:rowOff>
    </xdr:from>
    <xdr:ext cx="3524250" cy="2171700"/>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9525</xdr:colOff>
      <xdr:row>5</xdr:row>
      <xdr:rowOff>95250</xdr:rowOff>
    </xdr:from>
    <xdr:ext cx="3524250" cy="2171700"/>
    <xdr:pic>
      <xdr:nvPicPr>
        <xdr:cNvPr id="600667223" name="Chart6"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600075</xdr:colOff>
      <xdr:row>2</xdr:row>
      <xdr:rowOff>38100</xdr:rowOff>
    </xdr:from>
    <xdr:ext cx="2857500" cy="2857500"/>
    <mc:AlternateContent>
      <mc:Choice Requires="sle15">
        <xdr:graphicFrame>
          <xdr:nvGraphicFramePr>
            <xdr:cNvPr id="1" name="Department_1"/>
            <xdr:cNvGraphicFramePr/>
          </xdr:nvGraphicFramePr>
          <xdr:xfrm>
            <a:off x="0" y="0"/>
            <a:ext cx="0" cy="0"/>
          </xdr:xfrm>
          <a:graphic>
            <a:graphicData uri="http://schemas.microsoft.com/office/drawing/2010/slicer">
              <x3Unk:slicer name="Department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7</xdr:col>
      <xdr:colOff>361950</xdr:colOff>
      <xdr:row>2</xdr:row>
      <xdr:rowOff>28575</xdr:rowOff>
    </xdr:from>
    <xdr:ext cx="2857500" cy="2857500"/>
    <mc:AlternateContent>
      <mc:Choice Requires="sle15">
        <xdr:graphicFrame>
          <xdr:nvGraphicFramePr>
            <xdr:cNvPr id="2" name="Location_2"/>
            <xdr:cNvGraphicFramePr/>
          </xdr:nvGraphicFramePr>
          <xdr:xfrm>
            <a:off x="0" y="0"/>
            <a:ext cx="0" cy="0"/>
          </xdr:xfrm>
          <a:graphic>
            <a:graphicData uri="http://schemas.microsoft.com/office/drawing/2010/slicer">
              <x3Unk:slicer name="Location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1000" sheet="Survey_Data"/>
  </cacheSource>
  <cacheFields>
    <cacheField name="EmployeeID" numFmtId="0">
      <sharedItems containsBlank="1">
        <s v="E1001"/>
        <s v="E1002"/>
        <s v="E1003"/>
        <s v="E1004"/>
        <s v="E1005"/>
        <s v="E1006"/>
        <s v="E1007"/>
        <s v="E1008"/>
        <s v="E1009"/>
        <s v="E1010"/>
        <s v="E1011"/>
        <s v="E1012"/>
        <s v="E1013"/>
        <s v="E1014"/>
        <s v="E1015"/>
        <m/>
      </sharedItems>
    </cacheField>
    <cacheField name="Department" numFmtId="0">
      <sharedItems containsBlank="1">
        <s v="Sales"/>
        <s v="Engineering"/>
        <s v="Marketing"/>
        <s v="HR"/>
        <m/>
      </sharedItems>
    </cacheField>
    <cacheField name="Location" numFmtId="0">
      <sharedItems containsBlank="1">
        <s v="New York"/>
        <s v="San Francisco"/>
        <s v="London"/>
        <m/>
      </sharedItems>
    </cacheField>
    <cacheField name="Tenure (Years)" numFmtId="0">
      <sharedItems containsString="0" containsBlank="1" containsNumber="1" containsInteger="1">
        <n v="3.0"/>
        <n v="5.0"/>
        <n v="1.0"/>
        <n v="7.0"/>
        <n v="2.0"/>
        <n v="4.0"/>
        <n v="6.0"/>
        <n v="8.0"/>
        <m/>
      </sharedItems>
    </cacheField>
    <cacheField name="JobSatisfaction (1-5)" numFmtId="164">
      <sharedItems containsString="0" containsBlank="1" containsNumber="1" containsInteger="1">
        <n v="4.0"/>
        <n v="5.0"/>
        <n v="3.0"/>
        <n v="2.0"/>
        <m/>
      </sharedItems>
    </cacheField>
    <cacheField name="WorkLifeBalance (1-5)" numFmtId="164">
      <sharedItems containsString="0" containsBlank="1" containsNumber="1" containsInteger="1">
        <n v="3.0"/>
        <n v="4.0"/>
        <n v="5.0"/>
        <n v="2.0"/>
        <m/>
      </sharedItems>
    </cacheField>
    <cacheField name="ManagerRelationship (1-5)" numFmtId="164">
      <sharedItems containsString="0" containsBlank="1" containsNumber="1" containsInteger="1">
        <n v="5.0"/>
        <n v="4.0"/>
        <n v="3.0"/>
        <m/>
      </sharedItems>
    </cacheField>
    <cacheField name="CareerGrowth (1-5)" numFmtId="164">
      <sharedItems containsString="0" containsBlank="1" containsNumber="1" containsInteger="1">
        <n v="4.0"/>
        <n v="5.0"/>
        <n v="3.0"/>
        <n v="2.0"/>
        <m/>
      </sharedItems>
    </cacheField>
    <cacheField name="MostValuedPerk" numFmtId="0">
      <sharedItems containsBlank="1">
        <s v="Health Insurance"/>
        <s v="Stock Options"/>
        <s v="Remote Work"/>
        <s v="Bonus"/>
        <m/>
      </sharedItems>
    </cacheField>
    <cacheField name="OverallScore" numFmtId="164">
      <sharedItems containsString="0" containsBlank="1" containsNumber="1">
        <n v="4.0"/>
        <n v="4.5"/>
        <n v="3.25"/>
        <n v="5.0"/>
        <n v="3.75"/>
        <n v="2.25"/>
        <n v="2.75"/>
        <m/>
      </sharedItems>
    </cacheField>
    <cacheField name="Tenure (Group)" numFmtId="0">
      <sharedItems containsBlank="1">
        <s v="2-4 YEARS"/>
        <s v="5-7 YEARS"/>
        <s v="0-1 YEARS"/>
        <s v="8+ YEARS"/>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 cacheId="0" dataCaption="" rowGrandTotals="0" compact="0" compactData="0">
  <location ref="B9:C13" firstHeaderRow="0" firstDataRow="1" firstDataCol="0" rowPageCount="1" colPageCount="1"/>
  <pivotFields>
    <pivotField name="EmployeeID" axis="axisPage" compact="0" outline="0" multipleItemSelectionAllowed="1" showAll="0">
      <items>
        <item x="0"/>
        <item x="1"/>
        <item x="2"/>
        <item x="3"/>
        <item x="4"/>
        <item x="5"/>
        <item x="6"/>
        <item x="7"/>
        <item x="8"/>
        <item x="9"/>
        <item x="10"/>
        <item x="11"/>
        <item x="12"/>
        <item x="13"/>
        <item x="14"/>
        <item h="1" x="15"/>
        <item t="default"/>
      </items>
    </pivotField>
    <pivotField name="Department" compact="0" outline="0" multipleItemSelectionAllowed="1" showAll="0">
      <items>
        <item x="0"/>
        <item x="1"/>
        <item x="2"/>
        <item x="3"/>
        <item x="4"/>
        <item t="default"/>
      </items>
    </pivotField>
    <pivotField name="Location" compact="0" outline="0" multipleItemSelectionAllowed="1" showAll="0">
      <items>
        <item x="0"/>
        <item x="1"/>
        <item x="2"/>
        <item x="3"/>
        <item t="default"/>
      </items>
    </pivotField>
    <pivotField name="Tenure (Years)" compact="0" outline="0" multipleItemSelectionAllowed="1" showAll="0">
      <items>
        <item x="0"/>
        <item x="1"/>
        <item x="2"/>
        <item x="3"/>
        <item x="4"/>
        <item x="5"/>
        <item x="6"/>
        <item x="7"/>
        <item x="8"/>
        <item t="default"/>
      </items>
    </pivotField>
    <pivotField name="JobSatisfaction (1-5)" compact="0" numFmtId="164" outline="0" multipleItemSelectionAllowed="1" showAll="0">
      <items>
        <item x="0"/>
        <item x="1"/>
        <item x="2"/>
        <item x="3"/>
        <item x="4"/>
        <item t="default"/>
      </items>
    </pivotField>
    <pivotField name="WorkLifeBalance (1-5)" compact="0" numFmtId="164" outline="0" multipleItemSelectionAllowed="1" showAll="0">
      <items>
        <item x="0"/>
        <item x="1"/>
        <item x="2"/>
        <item x="3"/>
        <item x="4"/>
        <item t="default"/>
      </items>
    </pivotField>
    <pivotField name="ManagerRelationship (1-5)" compact="0" numFmtId="164" outline="0" multipleItemSelectionAllowed="1" showAll="0">
      <items>
        <item x="0"/>
        <item x="1"/>
        <item x="2"/>
        <item x="3"/>
        <item t="default"/>
      </items>
    </pivotField>
    <pivotField name="CareerGrowth (1-5)" compact="0" numFmtId="164" outline="0" multipleItemSelectionAllowed="1" showAll="0">
      <items>
        <item x="0"/>
        <item x="1"/>
        <item x="2"/>
        <item x="3"/>
        <item x="4"/>
        <item t="default"/>
      </items>
    </pivotField>
    <pivotField name="MostValuedPerk" compact="0" outline="0" multipleItemSelectionAllowed="1" showAll="0">
      <items>
        <item x="0"/>
        <item x="1"/>
        <item x="2"/>
        <item x="3"/>
        <item x="4"/>
        <item t="default"/>
      </items>
    </pivotField>
    <pivotField name="OverallScore" dataField="1" compact="0" numFmtId="164" outline="0" multipleItemSelectionAllowed="1" showAll="0">
      <items>
        <item x="0"/>
        <item x="1"/>
        <item x="2"/>
        <item x="3"/>
        <item x="4"/>
        <item x="5"/>
        <item x="6"/>
        <item x="7"/>
        <item t="default"/>
      </items>
    </pivotField>
    <pivotField name="Tenure (Group)" axis="axisRow" compact="0" outline="0" multipleItemSelectionAllowed="1" showAll="0" sortType="ascending">
      <items>
        <item x="4"/>
        <item x="2"/>
        <item x="0"/>
        <item x="1"/>
        <item x="3"/>
        <item t="default"/>
      </items>
    </pivotField>
  </pivotFields>
  <rowFields>
    <field x="10"/>
  </rowFields>
  <pageFields>
    <pageField fld="0"/>
  </pageFields>
  <dataFields>
    <dataField name="AVERAGE of OverallScore" fld="9" subtotal="average" baseField="0"/>
  </dataFields>
</pivotTableDefinition>
</file>

<file path=xl/pivotTables/pivotTable2.xml><?xml version="1.0" encoding="utf-8"?>
<pivotTableDefinition xmlns="http://schemas.openxmlformats.org/spreadsheetml/2006/main" name="Pivot Table  2" cacheId="0" dataCaption="" rowGrandTotals="0" compact="0" compactData="0">
  <location ref="E9:F12" firstHeaderRow="0" firstDataRow="1" firstDataCol="0"/>
  <pivotFields>
    <pivotField name="EmployeeID" compact="0" outline="0" multipleItemSelectionAllowed="1" showAll="0">
      <items>
        <item x="0"/>
        <item x="1"/>
        <item x="2"/>
        <item x="3"/>
        <item x="4"/>
        <item x="5"/>
        <item x="6"/>
        <item x="7"/>
        <item x="8"/>
        <item x="9"/>
        <item x="10"/>
        <item x="11"/>
        <item x="12"/>
        <item x="13"/>
        <item x="14"/>
        <item x="15"/>
        <item t="default"/>
      </items>
    </pivotField>
    <pivotField name="Department" axis="axisRow" compact="0" outline="0" multipleItemSelectionAllowed="1" showAll="0" sortType="ascending">
      <items>
        <item h="1" x="4"/>
        <item x="1"/>
        <item x="3"/>
        <item h="1" x="2"/>
        <item x="0"/>
        <item t="default"/>
      </items>
    </pivotField>
    <pivotField name="Location" compact="0" outline="0" multipleItemSelectionAllowed="1" showAll="0">
      <items>
        <item x="0"/>
        <item x="1"/>
        <item x="2"/>
        <item x="3"/>
        <item t="default"/>
      </items>
    </pivotField>
    <pivotField name="Tenure (Years)" compact="0" outline="0" multipleItemSelectionAllowed="1" showAll="0">
      <items>
        <item x="0"/>
        <item x="1"/>
        <item x="2"/>
        <item x="3"/>
        <item x="4"/>
        <item x="5"/>
        <item x="6"/>
        <item x="7"/>
        <item x="8"/>
        <item t="default"/>
      </items>
    </pivotField>
    <pivotField name="JobSatisfaction (1-5)" compact="0" numFmtId="164" outline="0" multipleItemSelectionAllowed="1" showAll="0">
      <items>
        <item x="0"/>
        <item x="1"/>
        <item x="2"/>
        <item x="3"/>
        <item x="4"/>
        <item t="default"/>
      </items>
    </pivotField>
    <pivotField name="WorkLifeBalance (1-5)" compact="0" numFmtId="164" outline="0" multipleItemSelectionAllowed="1" showAll="0">
      <items>
        <item x="0"/>
        <item x="1"/>
        <item x="2"/>
        <item x="3"/>
        <item x="4"/>
        <item t="default"/>
      </items>
    </pivotField>
    <pivotField name="ManagerRelationship (1-5)" compact="0" numFmtId="164" outline="0" multipleItemSelectionAllowed="1" showAll="0">
      <items>
        <item x="0"/>
        <item x="1"/>
        <item x="2"/>
        <item x="3"/>
        <item t="default"/>
      </items>
    </pivotField>
    <pivotField name="CareerGrowth (1-5)" compact="0" numFmtId="164" outline="0" multipleItemSelectionAllowed="1" showAll="0">
      <items>
        <item x="0"/>
        <item x="1"/>
        <item x="2"/>
        <item x="3"/>
        <item x="4"/>
        <item t="default"/>
      </items>
    </pivotField>
    <pivotField name="MostValuedPerk" compact="0" outline="0" multipleItemSelectionAllowed="1" showAll="0">
      <items>
        <item x="0"/>
        <item x="1"/>
        <item x="2"/>
        <item x="3"/>
        <item x="4"/>
        <item t="default"/>
      </items>
    </pivotField>
    <pivotField name="OverallScore" dataField="1" compact="0" numFmtId="164" outline="0" multipleItemSelectionAllowed="1" showAll="0">
      <items>
        <item x="0"/>
        <item x="1"/>
        <item x="2"/>
        <item x="3"/>
        <item x="4"/>
        <item x="5"/>
        <item x="6"/>
        <item x="7"/>
        <item t="default"/>
      </items>
    </pivotField>
    <pivotField name="Tenure (Group)" compact="0" outline="0" multipleItemSelectionAllowed="1" showAll="0">
      <items>
        <item x="0"/>
        <item x="1"/>
        <item x="2"/>
        <item x="3"/>
        <item x="4"/>
        <item t="default"/>
      </items>
    </pivotField>
  </pivotFields>
  <rowFields>
    <field x="1"/>
  </rowFields>
  <dataFields>
    <dataField name="AVERAGE of OverallScore" fld="9" subtotal="average" baseField="0"/>
  </dataFields>
</pivotTableDefinition>
</file>

<file path=xl/pivotTables/pivotTable3.xml><?xml version="1.0" encoding="utf-8"?>
<pivotTableDefinition xmlns="http://schemas.openxmlformats.org/spreadsheetml/2006/main" name="Pivot Table  3" cacheId="0" dataCaption="" rowGrandTotals="0" compact="0" compactData="0">
  <location ref="H9:I13" firstHeaderRow="0" firstDataRow="1" firstDataCol="0"/>
  <pivotFields>
    <pivotField name="EmployeeID" compact="0" outline="0" multipleItemSelectionAllowed="1" showAll="0">
      <items>
        <item x="0"/>
        <item x="1"/>
        <item x="2"/>
        <item x="3"/>
        <item x="4"/>
        <item x="5"/>
        <item x="6"/>
        <item x="7"/>
        <item x="8"/>
        <item x="9"/>
        <item x="10"/>
        <item x="11"/>
        <item x="12"/>
        <item x="13"/>
        <item x="14"/>
        <item x="15"/>
        <item t="default"/>
      </items>
    </pivotField>
    <pivotField name="Department" compact="0" outline="0" multipleItemSelectionAllowed="1" showAll="0">
      <items>
        <item x="0"/>
        <item x="1"/>
        <item x="2"/>
        <item x="3"/>
        <item x="4"/>
        <item t="default"/>
      </items>
    </pivotField>
    <pivotField name="Location" compact="0" outline="0" multipleItemSelectionAllowed="1" showAll="0">
      <items>
        <item x="0"/>
        <item x="1"/>
        <item x="2"/>
        <item x="3"/>
        <item t="default"/>
      </items>
    </pivotField>
    <pivotField name="Tenure (Years)" compact="0" outline="0" multipleItemSelectionAllowed="1" showAll="0">
      <items>
        <item x="0"/>
        <item x="1"/>
        <item x="2"/>
        <item x="3"/>
        <item x="4"/>
        <item x="5"/>
        <item x="6"/>
        <item x="7"/>
        <item x="8"/>
        <item t="default"/>
      </items>
    </pivotField>
    <pivotField name="JobSatisfaction (1-5)" compact="0" numFmtId="164" outline="0" multipleItemSelectionAllowed="1" showAll="0">
      <items>
        <item x="0"/>
        <item x="1"/>
        <item x="2"/>
        <item x="3"/>
        <item x="4"/>
        <item t="default"/>
      </items>
    </pivotField>
    <pivotField name="WorkLifeBalance (1-5)" compact="0" numFmtId="164" outline="0" multipleItemSelectionAllowed="1" showAll="0">
      <items>
        <item x="0"/>
        <item x="1"/>
        <item x="2"/>
        <item x="3"/>
        <item x="4"/>
        <item t="default"/>
      </items>
    </pivotField>
    <pivotField name="ManagerRelationship (1-5)" compact="0" numFmtId="164" outline="0" multipleItemSelectionAllowed="1" showAll="0">
      <items>
        <item x="0"/>
        <item x="1"/>
        <item x="2"/>
        <item x="3"/>
        <item t="default"/>
      </items>
    </pivotField>
    <pivotField name="CareerGrowth (1-5)" compact="0" numFmtId="164" outline="0" multipleItemSelectionAllowed="1" showAll="0">
      <items>
        <item x="0"/>
        <item x="1"/>
        <item x="2"/>
        <item x="3"/>
        <item x="4"/>
        <item t="default"/>
      </items>
    </pivotField>
    <pivotField name="MostValuedPerk" axis="axisRow" dataField="1" compact="0" outline="0" multipleItemSelectionAllowed="1" showAll="0" sortType="ascending">
      <items>
        <item h="1" x="4"/>
        <item x="3"/>
        <item x="0"/>
        <item x="2"/>
        <item x="1"/>
        <item t="default"/>
      </items>
    </pivotField>
    <pivotField name="OverallScore" compact="0" numFmtId="164" outline="0" multipleItemSelectionAllowed="1" showAll="0">
      <items>
        <item x="0"/>
        <item x="1"/>
        <item x="2"/>
        <item x="3"/>
        <item x="4"/>
        <item x="5"/>
        <item x="6"/>
        <item x="7"/>
        <item t="default"/>
      </items>
    </pivotField>
    <pivotField name="Tenure (Group)" compact="0" outline="0" multipleItemSelectionAllowed="1" showAll="0">
      <items>
        <item x="0"/>
        <item x="1"/>
        <item x="2"/>
        <item x="3"/>
        <item x="4"/>
        <item t="default"/>
      </items>
    </pivotField>
  </pivotFields>
  <rowFields>
    <field x="8"/>
  </rowFields>
  <dataFields>
    <dataField name="COUNTA of MostValuedPerk" fld="8" subtotal="count"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Department">
  <x14:extLst>
    <ext uri="{2F2917AC-EB37-4324-AD4E-5DD8C200BD13}">
      <x15:tableSlicerCache tableId="1" column="2"/>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Location">
  <x14:extLst>
    <ext uri="{2F2917AC-EB37-4324-AD4E-5DD8C200BD13}">
      <x15:tableSlicerCache tableId="1" column="3"/>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Department_1" cache="SlicerCache_Table_1_Col_2" caption="Department" rowHeight="247650"/>
  <x14:slicer name="Location_2" cache="SlicerCache_Table_1_Col_3" caption="Location" rowHeight="247650"/>
</x14:slicers>
</file>

<file path=xl/tables/table1.xml><?xml version="1.0" encoding="utf-8"?>
<table xmlns="http://schemas.openxmlformats.org/spreadsheetml/2006/main" ref="A1:K1000" displayName="Table_1" name="Table_1" id="1">
  <autoFilter ref="$A$1:$K$1000"/>
  <tableColumns count="11">
    <tableColumn name="EmployeeID" id="1"/>
    <tableColumn name="Department" id="2"/>
    <tableColumn name="Location" id="3"/>
    <tableColumn name="Tenure (Years)" id="4"/>
    <tableColumn name="JobSatisfaction (1-5)" id="5"/>
    <tableColumn name="WorkLifeBalance (1-5)" id="6"/>
    <tableColumn name="ManagerRelationship (1-5)" id="7"/>
    <tableColumn name="CareerGrowth (1-5)" id="8"/>
    <tableColumn name="MostValuedPerk" id="9"/>
    <tableColumn name="OverallScore" id="10"/>
    <tableColumn name="Tenure (Group)" id="11"/>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2"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25"/>
    <col customWidth="1" min="2" max="2" width="17.5"/>
    <col customWidth="1" min="3" max="3" width="16.38"/>
    <col customWidth="1" min="4" max="4" width="19.63"/>
    <col customWidth="1" min="5" max="5" width="24.38"/>
    <col customWidth="1" min="6" max="6" width="25.13"/>
    <col customWidth="1" min="7" max="7" width="28.38"/>
    <col customWidth="1" min="8" max="8" width="22.88"/>
    <col customWidth="1" min="9" max="9" width="21.0"/>
    <col customWidth="1" min="10" max="10" width="18.13"/>
    <col customWidth="1" min="11" max="11" width="16.63"/>
  </cols>
  <sheetData>
    <row r="1" ht="22.5" customHeight="1">
      <c r="A1" s="1" t="s">
        <v>0</v>
      </c>
      <c r="B1" s="1" t="s">
        <v>1</v>
      </c>
      <c r="C1" s="1" t="s">
        <v>2</v>
      </c>
      <c r="D1" s="1" t="s">
        <v>3</v>
      </c>
      <c r="E1" s="1" t="s">
        <v>4</v>
      </c>
      <c r="F1" s="1" t="s">
        <v>5</v>
      </c>
      <c r="G1" s="1" t="s">
        <v>6</v>
      </c>
      <c r="H1" s="1" t="s">
        <v>7</v>
      </c>
      <c r="I1" s="1" t="s">
        <v>8</v>
      </c>
      <c r="J1" s="1" t="s">
        <v>9</v>
      </c>
      <c r="K1" s="1" t="s">
        <v>10</v>
      </c>
    </row>
    <row r="2" ht="22.5" customHeight="1">
      <c r="A2" s="2" t="s">
        <v>11</v>
      </c>
      <c r="B2" s="3" t="s">
        <v>12</v>
      </c>
      <c r="C2" s="3" t="s">
        <v>13</v>
      </c>
      <c r="D2" s="4">
        <v>3.0</v>
      </c>
      <c r="E2" s="5">
        <v>4.0</v>
      </c>
      <c r="F2" s="5">
        <v>3.0</v>
      </c>
      <c r="G2" s="5">
        <v>5.0</v>
      </c>
      <c r="H2" s="5">
        <v>4.0</v>
      </c>
      <c r="I2" s="3" t="s">
        <v>14</v>
      </c>
      <c r="J2" s="6">
        <f t="shared" ref="J2:J16" si="1">AVERAGE(E2:H2)</f>
        <v>4</v>
      </c>
      <c r="K2" s="7" t="str">
        <f t="shared" ref="K2:K16" si="2">IF(D2&lt;2, "0-1 YEARS", IF(D2&lt;5, "2-4 YEARS", IF(D2&lt;8,"5-7 YEARS","8+ YEARS")))</f>
        <v>2-4 YEARS</v>
      </c>
    </row>
    <row r="3" ht="22.5" customHeight="1">
      <c r="A3" s="2" t="s">
        <v>15</v>
      </c>
      <c r="B3" s="3" t="s">
        <v>16</v>
      </c>
      <c r="C3" s="3" t="s">
        <v>17</v>
      </c>
      <c r="D3" s="4">
        <v>5.0</v>
      </c>
      <c r="E3" s="5">
        <v>5.0</v>
      </c>
      <c r="F3" s="5">
        <v>4.0</v>
      </c>
      <c r="G3" s="5">
        <v>4.0</v>
      </c>
      <c r="H3" s="5">
        <v>5.0</v>
      </c>
      <c r="I3" s="3" t="s">
        <v>18</v>
      </c>
      <c r="J3" s="6">
        <f t="shared" si="1"/>
        <v>4.5</v>
      </c>
      <c r="K3" s="7" t="str">
        <f t="shared" si="2"/>
        <v>5-7 YEARS</v>
      </c>
    </row>
    <row r="4" ht="22.5" customHeight="1">
      <c r="A4" s="2" t="s">
        <v>19</v>
      </c>
      <c r="B4" s="3" t="s">
        <v>20</v>
      </c>
      <c r="C4" s="3" t="s">
        <v>13</v>
      </c>
      <c r="D4" s="4">
        <v>1.0</v>
      </c>
      <c r="E4" s="5">
        <v>3.0</v>
      </c>
      <c r="F4" s="5">
        <v>4.0</v>
      </c>
      <c r="G4" s="5">
        <v>3.0</v>
      </c>
      <c r="H4" s="5">
        <v>3.0</v>
      </c>
      <c r="I4" s="3" t="s">
        <v>21</v>
      </c>
      <c r="J4" s="6">
        <f t="shared" si="1"/>
        <v>3.25</v>
      </c>
      <c r="K4" s="7" t="str">
        <f t="shared" si="2"/>
        <v>0-1 YEARS</v>
      </c>
    </row>
    <row r="5" ht="22.5" customHeight="1">
      <c r="A5" s="2" t="s">
        <v>22</v>
      </c>
      <c r="B5" s="3" t="s">
        <v>23</v>
      </c>
      <c r="C5" s="3" t="s">
        <v>13</v>
      </c>
      <c r="D5" s="4">
        <v>7.0</v>
      </c>
      <c r="E5" s="5">
        <v>4.0</v>
      </c>
      <c r="F5" s="5">
        <v>5.0</v>
      </c>
      <c r="G5" s="5">
        <v>5.0</v>
      </c>
      <c r="H5" s="5">
        <v>4.0</v>
      </c>
      <c r="I5" s="3" t="s">
        <v>24</v>
      </c>
      <c r="J5" s="6">
        <f t="shared" si="1"/>
        <v>4.5</v>
      </c>
      <c r="K5" s="7" t="str">
        <f t="shared" si="2"/>
        <v>5-7 YEARS</v>
      </c>
    </row>
    <row r="6" ht="22.5" customHeight="1">
      <c r="A6" s="2" t="s">
        <v>25</v>
      </c>
      <c r="B6" s="3" t="s">
        <v>12</v>
      </c>
      <c r="C6" s="3" t="s">
        <v>26</v>
      </c>
      <c r="D6" s="4">
        <v>2.0</v>
      </c>
      <c r="E6" s="5">
        <v>3.0</v>
      </c>
      <c r="F6" s="5">
        <v>3.0</v>
      </c>
      <c r="G6" s="5">
        <v>4.0</v>
      </c>
      <c r="H6" s="5">
        <v>3.0</v>
      </c>
      <c r="I6" s="3" t="s">
        <v>21</v>
      </c>
      <c r="J6" s="6">
        <f t="shared" si="1"/>
        <v>3.25</v>
      </c>
      <c r="K6" s="7" t="str">
        <f t="shared" si="2"/>
        <v>2-4 YEARS</v>
      </c>
    </row>
    <row r="7" ht="22.5" customHeight="1">
      <c r="A7" s="2" t="s">
        <v>27</v>
      </c>
      <c r="B7" s="3" t="s">
        <v>16</v>
      </c>
      <c r="C7" s="3" t="s">
        <v>17</v>
      </c>
      <c r="D7" s="4">
        <v>4.0</v>
      </c>
      <c r="E7" s="5">
        <v>5.0</v>
      </c>
      <c r="F7" s="5">
        <v>5.0</v>
      </c>
      <c r="G7" s="5">
        <v>5.0</v>
      </c>
      <c r="H7" s="5">
        <v>5.0</v>
      </c>
      <c r="I7" s="3" t="s">
        <v>14</v>
      </c>
      <c r="J7" s="6">
        <f t="shared" si="1"/>
        <v>5</v>
      </c>
      <c r="K7" s="7" t="str">
        <f t="shared" si="2"/>
        <v>2-4 YEARS</v>
      </c>
    </row>
    <row r="8" ht="22.5" customHeight="1">
      <c r="A8" s="2" t="s">
        <v>28</v>
      </c>
      <c r="B8" s="3" t="s">
        <v>20</v>
      </c>
      <c r="C8" s="3" t="s">
        <v>26</v>
      </c>
      <c r="D8" s="4">
        <v>3.0</v>
      </c>
      <c r="E8" s="5">
        <v>4.0</v>
      </c>
      <c r="F8" s="5">
        <v>4.0</v>
      </c>
      <c r="G8" s="5">
        <v>4.0</v>
      </c>
      <c r="H8" s="5">
        <v>3.0</v>
      </c>
      <c r="I8" s="3" t="s">
        <v>18</v>
      </c>
      <c r="J8" s="6">
        <f t="shared" si="1"/>
        <v>3.75</v>
      </c>
      <c r="K8" s="7" t="str">
        <f t="shared" si="2"/>
        <v>2-4 YEARS</v>
      </c>
    </row>
    <row r="9" ht="22.5" customHeight="1">
      <c r="A9" s="2" t="s">
        <v>29</v>
      </c>
      <c r="B9" s="3" t="s">
        <v>12</v>
      </c>
      <c r="C9" s="3" t="s">
        <v>13</v>
      </c>
      <c r="D9" s="4">
        <v>5.0</v>
      </c>
      <c r="E9" s="5">
        <v>2.0</v>
      </c>
      <c r="F9" s="5">
        <v>2.0</v>
      </c>
      <c r="G9" s="5">
        <v>3.0</v>
      </c>
      <c r="H9" s="5">
        <v>2.0</v>
      </c>
      <c r="I9" s="3" t="s">
        <v>24</v>
      </c>
      <c r="J9" s="6">
        <f t="shared" si="1"/>
        <v>2.25</v>
      </c>
      <c r="K9" s="7" t="str">
        <f t="shared" si="2"/>
        <v>5-7 YEARS</v>
      </c>
    </row>
    <row r="10" ht="22.5" customHeight="1">
      <c r="A10" s="2" t="s">
        <v>30</v>
      </c>
      <c r="B10" s="3" t="s">
        <v>16</v>
      </c>
      <c r="C10" s="3" t="s">
        <v>17</v>
      </c>
      <c r="D10" s="4">
        <v>1.0</v>
      </c>
      <c r="E10" s="5">
        <v>5.0</v>
      </c>
      <c r="F10" s="5">
        <v>4.0</v>
      </c>
      <c r="G10" s="5">
        <v>5.0</v>
      </c>
      <c r="H10" s="5">
        <v>4.0</v>
      </c>
      <c r="I10" s="3" t="s">
        <v>21</v>
      </c>
      <c r="J10" s="6">
        <f t="shared" si="1"/>
        <v>4.5</v>
      </c>
      <c r="K10" s="7" t="str">
        <f t="shared" si="2"/>
        <v>0-1 YEARS</v>
      </c>
    </row>
    <row r="11" ht="22.5" customHeight="1">
      <c r="A11" s="2" t="s">
        <v>31</v>
      </c>
      <c r="B11" s="3" t="s">
        <v>23</v>
      </c>
      <c r="C11" s="3" t="s">
        <v>26</v>
      </c>
      <c r="D11" s="4">
        <v>4.0</v>
      </c>
      <c r="E11" s="5">
        <v>4.0</v>
      </c>
      <c r="F11" s="5">
        <v>5.0</v>
      </c>
      <c r="G11" s="5">
        <v>4.0</v>
      </c>
      <c r="H11" s="5">
        <v>3.0</v>
      </c>
      <c r="I11" s="3" t="s">
        <v>14</v>
      </c>
      <c r="J11" s="6">
        <f t="shared" si="1"/>
        <v>4</v>
      </c>
      <c r="K11" s="7" t="str">
        <f t="shared" si="2"/>
        <v>2-4 YEARS</v>
      </c>
    </row>
    <row r="12" ht="22.5" customHeight="1">
      <c r="A12" s="2" t="s">
        <v>32</v>
      </c>
      <c r="B12" s="3" t="s">
        <v>12</v>
      </c>
      <c r="C12" s="3" t="s">
        <v>13</v>
      </c>
      <c r="D12" s="4">
        <v>6.0</v>
      </c>
      <c r="E12" s="5">
        <v>3.0</v>
      </c>
      <c r="F12" s="5">
        <v>3.0</v>
      </c>
      <c r="G12" s="5">
        <v>3.0</v>
      </c>
      <c r="H12" s="5">
        <v>2.0</v>
      </c>
      <c r="I12" s="3" t="s">
        <v>24</v>
      </c>
      <c r="J12" s="6">
        <f t="shared" si="1"/>
        <v>2.75</v>
      </c>
      <c r="K12" s="7" t="str">
        <f t="shared" si="2"/>
        <v>5-7 YEARS</v>
      </c>
    </row>
    <row r="13" ht="22.5" customHeight="1">
      <c r="A13" s="2" t="s">
        <v>33</v>
      </c>
      <c r="B13" s="3" t="s">
        <v>16</v>
      </c>
      <c r="C13" s="3" t="s">
        <v>26</v>
      </c>
      <c r="D13" s="4">
        <v>8.0</v>
      </c>
      <c r="E13" s="5">
        <v>4.0</v>
      </c>
      <c r="F13" s="5">
        <v>4.0</v>
      </c>
      <c r="G13" s="5">
        <v>4.0</v>
      </c>
      <c r="H13" s="5">
        <v>3.0</v>
      </c>
      <c r="I13" s="3" t="s">
        <v>18</v>
      </c>
      <c r="J13" s="6">
        <f t="shared" si="1"/>
        <v>3.75</v>
      </c>
      <c r="K13" s="7" t="str">
        <f t="shared" si="2"/>
        <v>8+ YEARS</v>
      </c>
    </row>
    <row r="14" ht="22.5" customHeight="1">
      <c r="A14" s="2" t="s">
        <v>34</v>
      </c>
      <c r="B14" s="3" t="s">
        <v>20</v>
      </c>
      <c r="C14" s="3" t="s">
        <v>17</v>
      </c>
      <c r="D14" s="4">
        <v>2.0</v>
      </c>
      <c r="E14" s="5">
        <v>4.0</v>
      </c>
      <c r="F14" s="5">
        <v>3.0</v>
      </c>
      <c r="G14" s="5">
        <v>5.0</v>
      </c>
      <c r="H14" s="5">
        <v>4.0</v>
      </c>
      <c r="I14" s="3" t="s">
        <v>21</v>
      </c>
      <c r="J14" s="6">
        <f t="shared" si="1"/>
        <v>4</v>
      </c>
      <c r="K14" s="7" t="str">
        <f t="shared" si="2"/>
        <v>2-4 YEARS</v>
      </c>
    </row>
    <row r="15" ht="22.5" customHeight="1">
      <c r="A15" s="2" t="s">
        <v>35</v>
      </c>
      <c r="B15" s="3" t="s">
        <v>23</v>
      </c>
      <c r="C15" s="3" t="s">
        <v>13</v>
      </c>
      <c r="D15" s="4">
        <v>3.0</v>
      </c>
      <c r="E15" s="5">
        <v>5.0</v>
      </c>
      <c r="F15" s="5">
        <v>5.0</v>
      </c>
      <c r="G15" s="5">
        <v>5.0</v>
      </c>
      <c r="H15" s="5">
        <v>5.0</v>
      </c>
      <c r="I15" s="3" t="s">
        <v>14</v>
      </c>
      <c r="J15" s="6">
        <f t="shared" si="1"/>
        <v>5</v>
      </c>
      <c r="K15" s="7" t="str">
        <f t="shared" si="2"/>
        <v>2-4 YEARS</v>
      </c>
    </row>
    <row r="16" ht="22.5" customHeight="1">
      <c r="A16" s="2" t="s">
        <v>36</v>
      </c>
      <c r="B16" s="3" t="s">
        <v>12</v>
      </c>
      <c r="C16" s="3" t="s">
        <v>26</v>
      </c>
      <c r="D16" s="4">
        <v>1.0</v>
      </c>
      <c r="E16" s="5">
        <v>3.0</v>
      </c>
      <c r="F16" s="5">
        <v>4.0</v>
      </c>
      <c r="G16" s="5">
        <v>3.0</v>
      </c>
      <c r="H16" s="5">
        <v>3.0</v>
      </c>
      <c r="I16" s="3" t="s">
        <v>24</v>
      </c>
      <c r="J16" s="6">
        <f t="shared" si="1"/>
        <v>3.25</v>
      </c>
      <c r="K16" s="7" t="str">
        <f t="shared" si="2"/>
        <v>0-1 YEARS</v>
      </c>
    </row>
  </sheetData>
  <customSheetViews>
    <customSheetView guid="{602196F6-74E3-4665-8414-38856A855931}" filter="1" showAutoFilter="1">
      <autoFilter ref="$A$1:$K$1000"/>
    </customSheetView>
    <customSheetView guid="{602196F6-74E3-4665-8414-38856A855931}" filter="1" showAutoFilter="1">
      <autoFilter ref="$A$1:$K$1000"/>
    </customSheetView>
  </customSheetViews>
  <conditionalFormatting sqref="J2:J16">
    <cfRule type="colorScale" priority="1">
      <colorScale>
        <cfvo type="min"/>
        <cfvo type="percentile" val="50"/>
        <cfvo type="max"/>
        <color rgb="FFE67C73"/>
        <color rgb="FFFFFFFF"/>
        <color rgb="FF57BB8A"/>
      </colorScale>
    </cfRule>
  </conditionalFormatting>
  <dataValidations>
    <dataValidation type="list" allowBlank="1" showDropDown="1" showErrorMessage="1" sqref="C2:C16">
      <formula1>"New York,San Francisco,London"</formula1>
    </dataValidation>
    <dataValidation type="list" allowBlank="1" showDropDown="1" showErrorMessage="1" sqref="B2:B16">
      <formula1>"Sales,Engineering,Marketing,HR"</formula1>
    </dataValidation>
    <dataValidation type="custom" allowBlank="1" showDropDown="1" sqref="D2:H16 J2:J16">
      <formula1>AND(ISNUMBER(D2),(NOT(OR(NOT(ISERROR(DATEVALUE(D2))), AND(ISNUMBER(D2), LEFT(CELL("format", D2))="D")))))</formula1>
    </dataValidation>
    <dataValidation type="list" allowBlank="1" showDropDown="1" showErrorMessage="1" sqref="I2:I16">
      <formula1>"Health Insurance,Stock Options,Remote Work,Bonus"</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63"/>
  </cols>
  <sheetData>
    <row r="3">
      <c r="B3" s="8" t="s">
        <v>37</v>
      </c>
      <c r="C3" s="8" t="s">
        <v>38</v>
      </c>
    </row>
    <row r="4">
      <c r="B4" s="8" t="s">
        <v>39</v>
      </c>
      <c r="C4" s="9">
        <f>AVERAGE(Survey_Data!E2:E16)</f>
        <v>3.866666667</v>
      </c>
    </row>
    <row r="5">
      <c r="B5" s="8" t="s">
        <v>40</v>
      </c>
      <c r="C5" s="9">
        <f>AVERAGE(Survey_Data[WorkLifeBalance (1-5)])</f>
        <v>3.866666667</v>
      </c>
      <c r="D5" s="8">
        <v>1.0</v>
      </c>
    </row>
    <row r="6">
      <c r="B6" s="8" t="s">
        <v>41</v>
      </c>
      <c r="C6" s="9">
        <f>AVERAGE(Survey_Data[ManagerRelationship (1-5)])</f>
        <v>4.133333333</v>
      </c>
    </row>
    <row r="7">
      <c r="B7" s="8" t="s">
        <v>42</v>
      </c>
      <c r="C7" s="9">
        <f>AVERAGE(Survey_Data[CareerGrowth (1-5)])</f>
        <v>3.533333333</v>
      </c>
    </row>
    <row r="8">
      <c r="B8" s="8" t="s">
        <v>43</v>
      </c>
      <c r="C8" s="9">
        <f>AVERAGE(Survey_Data[OverallScore])</f>
        <v>3.85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6" max="6" width="24.0"/>
  </cols>
  <sheetData>
    <row r="9"/>
    <row r="10"/>
    <row r="11"/>
    <row r="12"/>
    <row r="13"/>
  </sheetData>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drawing r:id="rId1"/>
  <extLst>
    <ext uri="{3A4CF648-6AED-40f4-86FF-DC5316D8AED3}">
      <x14:slicerList>
        <x14:slicer r:id="rId2"/>
      </x14:slicerList>
    </ext>
  </extLst>
</worksheet>
</file>